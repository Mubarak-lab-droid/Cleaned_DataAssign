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Excel\"/>
    </mc:Choice>
  </mc:AlternateContent>
  <xr:revisionPtr revIDLastSave="0" documentId="8_{5E0904DD-2FD4-4946-9F9F-C7CC102B27FC}" xr6:coauthVersionLast="47" xr6:coauthVersionMax="47" xr10:uidLastSave="{00000000-0000-0000-0000-000000000000}"/>
  <bookViews>
    <workbookView xWindow="-120" yWindow="-120" windowWidth="20730" windowHeight="11760" xr2:uid="{55D65CA5-E63D-4C88-AFE5-E457E2627381}"/>
  </bookViews>
  <sheets>
    <sheet name="cleaning data used" sheetId="2" r:id="rId1"/>
    <sheet name="Clean Data" sheetId="1" r:id="rId2"/>
  </sheets>
  <calcPr calcId="191029" iterate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" i="1" l="1"/>
  <c r="C8" i="1"/>
  <c r="C12" i="1"/>
  <c r="C16" i="1"/>
  <c r="C20" i="1"/>
  <c r="B4" i="1"/>
  <c r="B5" i="1"/>
  <c r="B8" i="1"/>
  <c r="B9" i="1"/>
  <c r="B12" i="1"/>
  <c r="B13" i="1"/>
  <c r="B16" i="1"/>
  <c r="B17" i="1"/>
  <c r="B20" i="1"/>
  <c r="I20" i="1"/>
  <c r="G20" i="1"/>
  <c r="A20" i="1"/>
  <c r="I19" i="1"/>
  <c r="G19" i="1"/>
  <c r="A19" i="1"/>
  <c r="B19" i="1" s="1"/>
  <c r="I18" i="1"/>
  <c r="G18" i="1"/>
  <c r="A18" i="1"/>
  <c r="C18" i="1" s="1"/>
  <c r="I17" i="1"/>
  <c r="G17" i="1"/>
  <c r="A17" i="1"/>
  <c r="C17" i="1" s="1"/>
  <c r="I16" i="1"/>
  <c r="G16" i="1"/>
  <c r="A16" i="1"/>
  <c r="I15" i="1"/>
  <c r="G15" i="1"/>
  <c r="A15" i="1"/>
  <c r="B15" i="1" s="1"/>
  <c r="I14" i="1"/>
  <c r="G14" i="1"/>
  <c r="A14" i="1"/>
  <c r="C14" i="1" s="1"/>
  <c r="I13" i="1"/>
  <c r="G13" i="1"/>
  <c r="A13" i="1"/>
  <c r="C13" i="1" s="1"/>
  <c r="I12" i="1"/>
  <c r="G12" i="1"/>
  <c r="A12" i="1"/>
  <c r="I11" i="1"/>
  <c r="G11" i="1"/>
  <c r="A11" i="1"/>
  <c r="B11" i="1" s="1"/>
  <c r="I10" i="1"/>
  <c r="G10" i="1"/>
  <c r="A10" i="1"/>
  <c r="C10" i="1" s="1"/>
  <c r="I9" i="1"/>
  <c r="G9" i="1"/>
  <c r="A9" i="1"/>
  <c r="C9" i="1" s="1"/>
  <c r="I8" i="1"/>
  <c r="G8" i="1"/>
  <c r="A8" i="1"/>
  <c r="I7" i="1"/>
  <c r="G7" i="1"/>
  <c r="A7" i="1"/>
  <c r="B7" i="1" s="1"/>
  <c r="I6" i="1"/>
  <c r="G6" i="1"/>
  <c r="A6" i="1"/>
  <c r="C6" i="1" s="1"/>
  <c r="I5" i="1"/>
  <c r="G5" i="1"/>
  <c r="A5" i="1"/>
  <c r="C5" i="1" s="1"/>
  <c r="I4" i="1"/>
  <c r="G4" i="1"/>
  <c r="A4" i="1"/>
  <c r="I3" i="1"/>
  <c r="G3" i="1"/>
  <c r="A3" i="1"/>
  <c r="B3" i="1" s="1"/>
  <c r="I2" i="1"/>
  <c r="G2" i="1"/>
  <c r="A2" i="1"/>
  <c r="C2" i="1" s="1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18" i="1" l="1"/>
  <c r="B14" i="1"/>
  <c r="B10" i="1"/>
  <c r="B6" i="1"/>
  <c r="B2" i="1"/>
  <c r="C19" i="1"/>
  <c r="C15" i="1"/>
  <c r="C11" i="1"/>
  <c r="C7" i="1"/>
  <c r="C3" i="1"/>
</calcChain>
</file>

<file path=xl/sharedStrings.xml><?xml version="1.0" encoding="utf-8"?>
<sst xmlns="http://schemas.openxmlformats.org/spreadsheetml/2006/main" count="138" uniqueCount="58">
  <si>
    <t xml:space="preserve">JUAREZ, JOSE </t>
  </si>
  <si>
    <t>ADMIN</t>
  </si>
  <si>
    <t>INTERN</t>
  </si>
  <si>
    <t xml:space="preserve">ABRAHAM, JOHNNY </t>
  </si>
  <si>
    <t>03/30/2013</t>
  </si>
  <si>
    <t>ENGINEERING</t>
  </si>
  <si>
    <t>TRAINEE</t>
  </si>
  <si>
    <t>BAKER, SARAH</t>
  </si>
  <si>
    <t>04/30/2015</t>
  </si>
  <si>
    <t>SALES</t>
  </si>
  <si>
    <t>SALES EXECUTIVE</t>
  </si>
  <si>
    <t>BALOTELLI, BILLY</t>
  </si>
  <si>
    <t>11/15/2007</t>
  </si>
  <si>
    <t xml:space="preserve">BISHOP, TIANA </t>
  </si>
  <si>
    <t>MANAGER</t>
  </si>
  <si>
    <t>BOATENG, TERRYY</t>
  </si>
  <si>
    <t>07/27/2009</t>
  </si>
  <si>
    <t>ACCOUNTS</t>
  </si>
  <si>
    <t>COST ACCOUNTANT</t>
  </si>
  <si>
    <t xml:space="preserve">BOER, FRED </t>
  </si>
  <si>
    <t>12/23/2010</t>
  </si>
  <si>
    <t>MKTG</t>
  </si>
  <si>
    <t>DESIGNER</t>
  </si>
  <si>
    <t>BARKER, BETTY</t>
  </si>
  <si>
    <t>07/25/2007</t>
  </si>
  <si>
    <t xml:space="preserve">BURSTEYN , TOM </t>
  </si>
  <si>
    <t>SALES TRAINEE</t>
  </si>
  <si>
    <t xml:space="preserve">BURSTEYN, TAMMY </t>
  </si>
  <si>
    <t>BUSSER, BOBBY</t>
  </si>
  <si>
    <t>SENIOR ADMINISTRATOR</t>
  </si>
  <si>
    <t>CASCIEWICZ, KATHY</t>
  </si>
  <si>
    <t xml:space="preserve"> 12/15/2011</t>
  </si>
  <si>
    <t>SENIOR TECHNICIAN</t>
  </si>
  <si>
    <t xml:space="preserve">COLE, ASHLEY </t>
  </si>
  <si>
    <t>COOKSON, CHARLES</t>
  </si>
  <si>
    <t xml:space="preserve"> 04/03/2012</t>
  </si>
  <si>
    <t>R &amp; D</t>
  </si>
  <si>
    <t>VP</t>
  </si>
  <si>
    <t xml:space="preserve">CROSSLEY, ERIN </t>
  </si>
  <si>
    <t>04/23/2009</t>
  </si>
  <si>
    <t>TEAM LEADER</t>
  </si>
  <si>
    <t xml:space="preserve">DOE, JANE </t>
  </si>
  <si>
    <t>07/25/2015</t>
  </si>
  <si>
    <t xml:space="preserve">DOE, JOHN  </t>
  </si>
  <si>
    <t xml:space="preserve"> 06/05/2014</t>
  </si>
  <si>
    <t>DARNSTEIN, DANNY</t>
  </si>
  <si>
    <t xml:space="preserve"> 12/14/2011</t>
  </si>
  <si>
    <t xml:space="preserve">FALLENGRANO, BILL </t>
  </si>
  <si>
    <t xml:space="preserve"> 06/29/2001</t>
  </si>
  <si>
    <t>Employees Names</t>
  </si>
  <si>
    <t>Hire Date</t>
  </si>
  <si>
    <t>Salary</t>
  </si>
  <si>
    <t>Dept</t>
  </si>
  <si>
    <t>Job Title</t>
  </si>
  <si>
    <t>Dept2</t>
  </si>
  <si>
    <t>Job Title3</t>
  </si>
  <si>
    <t>Last Name</t>
  </si>
  <si>
    <t>First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</si>
</sst>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164" formatCode="_-[$$-409]* #,##0.00_ ;_-[$$-409]* \-#,##0.00\ ;_-[$$-409]* &quot;-&quot;??_ ;_-@_ "/>
    </dxf>
    <dxf>
      <numFmt numFmtId="19" formatCode="dd/mm/yyyy"/>
    </dxf>
    <dxf>
      <numFmt numFmtId="0" formatCode="General"/>
    </dxf>
    <dxf>
      <numFmt numFmtId="0" formatCode="General"/>
    </dxf>
    <dxf>
      <numFmt numFmtId="164" formatCode="_-[$$-409]* #,##0.00_ ;_-[$$-409]* \-#,##0.00\ ;_-[$$-409]* &quot;-&quot;??_ ;_-@_ 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9C43CC-0D63-4B5C-87C5-E89FD58196FA}" name="cleaning_data_used" displayName="cleaning_data_used" ref="A2:H20" headerRowCount="0" totalsRowShown="0">
  <tableColumns count="8">
    <tableColumn id="1" xr3:uid="{11B83EBB-AED1-467E-AA07-DD23C2BD00B7}" name="Column1"/>
    <tableColumn id="7" xr3:uid="{6267A2F5-1E0A-444F-914B-C102C7CE6148}" name="Column6" dataDxfId="8">
      <calculatedColumnFormula>PROPER(cleaning_data_used[[#This Row],[Column1]])</calculatedColumnFormula>
    </tableColumn>
    <tableColumn id="2" xr3:uid="{33871A92-0D67-45D4-A7BC-7ECF7F23172E}" name="Column2" dataDxfId="7"/>
    <tableColumn id="3" xr3:uid="{836EE4B2-B858-4C3C-9A70-CA4870A7F13C}" name="Column3" dataDxfId="6"/>
    <tableColumn id="4" xr3:uid="{013C08C5-155D-405C-9C6E-97484FAF4B31}" name="Column4"/>
    <tableColumn id="11" xr3:uid="{4D1690D0-ABC9-4511-8CFF-6513B7E79571}" name="Column7" dataDxfId="5">
      <calculatedColumnFormula>SUBSTITUTE(PROPER(cleaning_data_used[[#This Row],[Column4]]),"Mktg","Marketing")</calculatedColumnFormula>
    </tableColumn>
    <tableColumn id="5" xr3:uid="{D4D0CCF8-51E8-4D05-891F-CA9735A84AF9}" name="Column5"/>
    <tableColumn id="12" xr3:uid="{9E654951-8F30-49F5-9653-CEBD7E037FAC}" name="Column8" dataDxfId="4">
      <calculatedColumnFormula>PROPER(cleaning_data_used[[#This Row],[Column5]])</calculatedColumnFormula>
    </tableColumn>
  </tableColumns>
  <tableStyleInfo name="TableStyleMedium6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CC9C8D-AC3E-4235-B445-4946734798C7}" name="Table8" displayName="Table8" ref="A1:I20" totalsRowShown="0">
  <autoFilter ref="A1:I20" xr:uid="{00CC9C8D-AC3E-4235-B445-4946734798C7}"/>
  <tableColumns count="9">
    <tableColumn id="1" xr3:uid="{DE9F7E36-A7BD-4BFC-8F5B-D6FB80794C54}" name="Employees Names">
      <calculatedColumnFormula>PROPER(cleaning_data_used[[#This Row],[Column1]])</calculatedColumnFormula>
    </tableColumn>
    <tableColumn id="10" xr3:uid="{751B1E64-6957-4EBF-B951-5426D25869DD}" name="Last Name" dataDxfId="1">
      <calculatedColumnFormula>LEFT(Table8[[#This Row],[Employees Names]],FIND(",",Table8[[#This Row],[Employees Names]])-1)</calculatedColumnFormula>
    </tableColumn>
    <tableColumn id="11" xr3:uid="{AEC102D5-2D1A-43E9-AE84-CD24C61E30CA}" name="First Name" dataDxfId="0">
      <calculatedColumnFormula>RIGHT(Table8[[#This Row],[Employees Names]],LEN(Table8[[#This Row],[Employees Names]])-FIND(",",Table8[[#This Row],[Employees Names]]))</calculatedColumnFormula>
    </tableColumn>
    <tableColumn id="2" xr3:uid="{5C7A4DA5-969A-46BD-9B09-7A3B2624E804}" name="Hire Date" dataDxfId="3"/>
    <tableColumn id="3" xr3:uid="{D5C24686-0AF0-4E36-A345-744996F5EC23}" name="Salary" dataDxfId="2"/>
    <tableColumn id="4" xr3:uid="{7E1BFCD3-12A6-43CC-9470-097A24317676}" name="Dept"/>
    <tableColumn id="5" xr3:uid="{8C7BE71A-9C36-4AA7-9478-1CD715676919}" name="Dept2">
      <calculatedColumnFormula>SUBSTITUTE(PROPER(cleaning_data_used[[#This Row],[Column4]]),"Mktg","Marketing")</calculatedColumnFormula>
    </tableColumn>
    <tableColumn id="6" xr3:uid="{2331F1A4-D976-41E1-B7D3-C947008F6AD5}" name="Job Title"/>
    <tableColumn id="7" xr3:uid="{BF3893A7-D732-44D6-B520-8E9FAF577D42}" name="Job Title3">
      <calculatedColumnFormula>PROPER(cleaning_data_used[[#This Row],[Column5]])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753F1-54FC-45FC-9BE5-7B37BEB56FCD}">
  <dimension ref="A1:H20"/>
  <sheetViews>
    <sheetView tabSelected="1" topLeftCell="B1" workbookViewId="0">
      <selection activeCell="D24" sqref="D24"/>
    </sheetView>
  </sheetViews>
  <sheetFormatPr defaultRowHeight="15" x14ac:dyDescent="0.25"/>
  <cols>
    <col min="1" max="1" width="37.140625" hidden="1" customWidth="1"/>
    <col min="2" max="2" width="19.140625" customWidth="1"/>
    <col min="3" max="3" width="11.140625" style="1" bestFit="1" customWidth="1"/>
    <col min="4" max="4" width="11.28515625" style="2" bestFit="1" customWidth="1"/>
    <col min="5" max="5" width="13.28515625" hidden="1" customWidth="1"/>
    <col min="6" max="6" width="13.28515625" customWidth="1"/>
    <col min="7" max="7" width="23.28515625" hidden="1" customWidth="1"/>
    <col min="8" max="8" width="19.7109375" bestFit="1" customWidth="1"/>
  </cols>
  <sheetData>
    <row r="1" spans="1:8" x14ac:dyDescent="0.25">
      <c r="A1" t="s">
        <v>49</v>
      </c>
      <c r="B1" t="s">
        <v>49</v>
      </c>
      <c r="C1" s="1" t="s">
        <v>50</v>
      </c>
      <c r="D1" s="2" t="s">
        <v>51</v>
      </c>
      <c r="E1" t="s">
        <v>52</v>
      </c>
      <c r="F1" t="s">
        <v>52</v>
      </c>
      <c r="G1" t="s">
        <v>53</v>
      </c>
      <c r="H1" t="s">
        <v>53</v>
      </c>
    </row>
    <row r="2" spans="1:8" x14ac:dyDescent="0.25">
      <c r="A2" t="s">
        <v>0</v>
      </c>
      <c r="B2" t="str">
        <f>PROPER(cleaning_data_used[[#This Row],[Column1]])</f>
        <v xml:space="preserve">Juarez, Jose </v>
      </c>
      <c r="C2" s="1">
        <v>41297</v>
      </c>
      <c r="D2" s="2">
        <v>39000</v>
      </c>
      <c r="E2" t="s">
        <v>1</v>
      </c>
      <c r="F2" t="str">
        <f>SUBSTITUTE(PROPER(cleaning_data_used[[#This Row],[Column4]]),"Mktg","Marketing")</f>
        <v>Admin</v>
      </c>
      <c r="G2" t="s">
        <v>2</v>
      </c>
      <c r="H2" t="str">
        <f>PROPER(cleaning_data_used[[#This Row],[Column5]])</f>
        <v>Intern</v>
      </c>
    </row>
    <row r="3" spans="1:8" x14ac:dyDescent="0.25">
      <c r="A3" t="s">
        <v>3</v>
      </c>
      <c r="B3" t="str">
        <f>PROPER(cleaning_data_used[[#This Row],[Column1]])</f>
        <v xml:space="preserve">Abraham, Johnny </v>
      </c>
      <c r="C3" s="1" t="s">
        <v>4</v>
      </c>
      <c r="D3" s="2">
        <v>27000</v>
      </c>
      <c r="E3" t="s">
        <v>5</v>
      </c>
      <c r="F3" t="str">
        <f>SUBSTITUTE(PROPER(cleaning_data_used[[#This Row],[Column4]]),"Mktg","Marketing")</f>
        <v>Engineering</v>
      </c>
      <c r="G3" t="s">
        <v>6</v>
      </c>
      <c r="H3" t="str">
        <f>PROPER(cleaning_data_used[[#This Row],[Column5]])</f>
        <v>Trainee</v>
      </c>
    </row>
    <row r="4" spans="1:8" x14ac:dyDescent="0.25">
      <c r="A4" t="s">
        <v>7</v>
      </c>
      <c r="B4" t="str">
        <f>PROPER(cleaning_data_used[[#This Row],[Column1]])</f>
        <v>Baker, Sarah</v>
      </c>
      <c r="C4" s="1" t="s">
        <v>8</v>
      </c>
      <c r="D4" s="2">
        <v>36000</v>
      </c>
      <c r="E4" t="s">
        <v>9</v>
      </c>
      <c r="F4" t="str">
        <f>SUBSTITUTE(PROPER(cleaning_data_used[[#This Row],[Column4]]),"Mktg","Marketing")</f>
        <v>Sales</v>
      </c>
      <c r="G4" t="s">
        <v>10</v>
      </c>
      <c r="H4" t="str">
        <f>PROPER(cleaning_data_used[[#This Row],[Column5]])</f>
        <v>Sales Executive</v>
      </c>
    </row>
    <row r="5" spans="1:8" x14ac:dyDescent="0.25">
      <c r="A5" t="s">
        <v>11</v>
      </c>
      <c r="B5" t="str">
        <f>PROPER(cleaning_data_used[[#This Row],[Column1]])</f>
        <v>Balotelli, Billy</v>
      </c>
      <c r="C5" s="1" t="s">
        <v>12</v>
      </c>
      <c r="D5" s="2">
        <v>23900</v>
      </c>
      <c r="E5" t="s">
        <v>5</v>
      </c>
      <c r="F5" t="str">
        <f>SUBSTITUTE(PROPER(cleaning_data_used[[#This Row],[Column4]]),"Mktg","Marketing")</f>
        <v>Engineering</v>
      </c>
      <c r="G5" t="s">
        <v>2</v>
      </c>
      <c r="H5" t="str">
        <f>PROPER(cleaning_data_used[[#This Row],[Column5]])</f>
        <v>Intern</v>
      </c>
    </row>
    <row r="6" spans="1:8" x14ac:dyDescent="0.25">
      <c r="A6" t="s">
        <v>13</v>
      </c>
      <c r="B6" t="str">
        <f>PROPER(cleaning_data_used[[#This Row],[Column1]])</f>
        <v xml:space="preserve">Bishop, Tiana </v>
      </c>
      <c r="C6" s="1">
        <v>37959</v>
      </c>
      <c r="D6" s="2">
        <v>46500</v>
      </c>
      <c r="E6" t="s">
        <v>5</v>
      </c>
      <c r="F6" t="str">
        <f>SUBSTITUTE(PROPER(cleaning_data_used[[#This Row],[Column4]]),"Mktg","Marketing")</f>
        <v>Engineering</v>
      </c>
      <c r="G6" t="s">
        <v>14</v>
      </c>
      <c r="H6" t="str">
        <f>PROPER(cleaning_data_used[[#This Row],[Column5]])</f>
        <v>Manager</v>
      </c>
    </row>
    <row r="7" spans="1:8" x14ac:dyDescent="0.25">
      <c r="A7" t="s">
        <v>15</v>
      </c>
      <c r="B7" t="str">
        <f>PROPER(cleaning_data_used[[#This Row],[Column1]])</f>
        <v>Boateng, Terryy</v>
      </c>
      <c r="C7" s="1" t="s">
        <v>16</v>
      </c>
      <c r="D7" s="2">
        <v>50000</v>
      </c>
      <c r="E7" t="s">
        <v>17</v>
      </c>
      <c r="F7" t="str">
        <f>SUBSTITUTE(PROPER(cleaning_data_used[[#This Row],[Column4]]),"Mktg","Marketing")</f>
        <v>Accounts</v>
      </c>
      <c r="G7" t="s">
        <v>18</v>
      </c>
      <c r="H7" t="str">
        <f>PROPER(cleaning_data_used[[#This Row],[Column5]])</f>
        <v>Cost Accountant</v>
      </c>
    </row>
    <row r="8" spans="1:8" x14ac:dyDescent="0.25">
      <c r="A8" t="s">
        <v>19</v>
      </c>
      <c r="B8" t="str">
        <f>PROPER(cleaning_data_used[[#This Row],[Column1]])</f>
        <v xml:space="preserve">Boer, Fred </v>
      </c>
      <c r="C8" s="1" t="s">
        <v>20</v>
      </c>
      <c r="D8" s="2">
        <v>46000</v>
      </c>
      <c r="E8" t="s">
        <v>21</v>
      </c>
      <c r="F8" t="str">
        <f>SUBSTITUTE(PROPER(cleaning_data_used[[#This Row],[Column4]]),"Mktg","Marketing")</f>
        <v>Marketing</v>
      </c>
      <c r="G8" t="s">
        <v>22</v>
      </c>
      <c r="H8" t="str">
        <f>PROPER(cleaning_data_used[[#This Row],[Column5]])</f>
        <v>Designer</v>
      </c>
    </row>
    <row r="9" spans="1:8" x14ac:dyDescent="0.25">
      <c r="A9" t="s">
        <v>23</v>
      </c>
      <c r="B9" t="str">
        <f>PROPER(cleaning_data_used[[#This Row],[Column1]])</f>
        <v>Barker, Betty</v>
      </c>
      <c r="C9" s="1" t="s">
        <v>24</v>
      </c>
      <c r="D9" s="2">
        <v>43500</v>
      </c>
      <c r="E9" t="s">
        <v>9</v>
      </c>
      <c r="F9" t="str">
        <f>SUBSTITUTE(PROPER(cleaning_data_used[[#This Row],[Column4]]),"Mktg","Marketing")</f>
        <v>Sales</v>
      </c>
      <c r="G9" t="s">
        <v>10</v>
      </c>
      <c r="H9" t="str">
        <f>PROPER(cleaning_data_used[[#This Row],[Column5]])</f>
        <v>Sales Executive</v>
      </c>
    </row>
    <row r="10" spans="1:8" x14ac:dyDescent="0.25">
      <c r="A10" t="s">
        <v>25</v>
      </c>
      <c r="B10" t="str">
        <f>PROPER(cleaning_data_used[[#This Row],[Column1]])</f>
        <v xml:space="preserve">Bursteyn , Tom </v>
      </c>
      <c r="C10" s="1">
        <v>36834</v>
      </c>
      <c r="D10" s="2">
        <v>21000</v>
      </c>
      <c r="E10" t="s">
        <v>9</v>
      </c>
      <c r="F10" t="str">
        <f>SUBSTITUTE(PROPER(cleaning_data_used[[#This Row],[Column4]]),"Mktg","Marketing")</f>
        <v>Sales</v>
      </c>
      <c r="G10" t="s">
        <v>26</v>
      </c>
      <c r="H10" t="str">
        <f>PROPER(cleaning_data_used[[#This Row],[Column5]])</f>
        <v>Sales Trainee</v>
      </c>
    </row>
    <row r="11" spans="1:8" x14ac:dyDescent="0.25">
      <c r="A11" t="s">
        <v>27</v>
      </c>
      <c r="B11" t="str">
        <f>PROPER(cleaning_data_used[[#This Row],[Column1]])</f>
        <v xml:space="preserve">Bursteyn, Tammy </v>
      </c>
      <c r="C11" s="1">
        <v>38238</v>
      </c>
      <c r="D11" s="2">
        <v>38000</v>
      </c>
      <c r="E11" t="s">
        <v>9</v>
      </c>
      <c r="F11" t="str">
        <f>SUBSTITUTE(PROPER(cleaning_data_used[[#This Row],[Column4]]),"Mktg","Marketing")</f>
        <v>Sales</v>
      </c>
      <c r="G11" t="s">
        <v>10</v>
      </c>
      <c r="H11" t="str">
        <f>PROPER(cleaning_data_used[[#This Row],[Column5]])</f>
        <v>Sales Executive</v>
      </c>
    </row>
    <row r="12" spans="1:8" x14ac:dyDescent="0.25">
      <c r="A12" t="s">
        <v>28</v>
      </c>
      <c r="B12" t="str">
        <f>PROPER(cleaning_data_used[[#This Row],[Column1]])</f>
        <v>Busser, Bobby</v>
      </c>
      <c r="C12" s="1">
        <v>37417</v>
      </c>
      <c r="D12" s="2">
        <v>29950</v>
      </c>
      <c r="E12" t="s">
        <v>17</v>
      </c>
      <c r="F12" t="str">
        <f>SUBSTITUTE(PROPER(cleaning_data_used[[#This Row],[Column4]]),"Mktg","Marketing")</f>
        <v>Accounts</v>
      </c>
      <c r="G12" t="s">
        <v>29</v>
      </c>
      <c r="H12" t="str">
        <f>PROPER(cleaning_data_used[[#This Row],[Column5]])</f>
        <v>Senior Administrator</v>
      </c>
    </row>
    <row r="13" spans="1:8" x14ac:dyDescent="0.25">
      <c r="A13" t="s">
        <v>30</v>
      </c>
      <c r="B13" t="str">
        <f>PROPER(cleaning_data_used[[#This Row],[Column1]])</f>
        <v>Casciewicz, Kathy</v>
      </c>
      <c r="C13" s="1" t="s">
        <v>31</v>
      </c>
      <c r="D13" s="2">
        <v>41000</v>
      </c>
      <c r="E13" t="s">
        <v>9</v>
      </c>
      <c r="F13" t="str">
        <f>SUBSTITUTE(PROPER(cleaning_data_used[[#This Row],[Column4]]),"Mktg","Marketing")</f>
        <v>Sales</v>
      </c>
      <c r="G13" t="s">
        <v>32</v>
      </c>
      <c r="H13" t="str">
        <f>PROPER(cleaning_data_used[[#This Row],[Column5]])</f>
        <v>Senior Technician</v>
      </c>
    </row>
    <row r="14" spans="1:8" x14ac:dyDescent="0.25">
      <c r="A14" t="s">
        <v>33</v>
      </c>
      <c r="B14" t="str">
        <f>PROPER(cleaning_data_used[[#This Row],[Column1]])</f>
        <v xml:space="preserve">Cole, Ashley </v>
      </c>
      <c r="C14" s="1">
        <v>40483</v>
      </c>
      <c r="D14" s="2">
        <v>54000</v>
      </c>
      <c r="E14" t="s">
        <v>9</v>
      </c>
      <c r="F14" t="str">
        <f>SUBSTITUTE(PROPER(cleaning_data_used[[#This Row],[Column4]]),"Mktg","Marketing")</f>
        <v>Sales</v>
      </c>
      <c r="G14" t="s">
        <v>18</v>
      </c>
      <c r="H14" t="str">
        <f>PROPER(cleaning_data_used[[#This Row],[Column5]])</f>
        <v>Cost Accountant</v>
      </c>
    </row>
    <row r="15" spans="1:8" x14ac:dyDescent="0.25">
      <c r="A15" t="s">
        <v>34</v>
      </c>
      <c r="B15" t="str">
        <f>PROPER(cleaning_data_used[[#This Row],[Column1]])</f>
        <v>Cookson, Charles</v>
      </c>
      <c r="C15" s="1" t="s">
        <v>35</v>
      </c>
      <c r="D15" s="2">
        <v>63200</v>
      </c>
      <c r="E15" t="s">
        <v>36</v>
      </c>
      <c r="F15" t="str">
        <f>SUBSTITUTE(PROPER(cleaning_data_used[[#This Row],[Column4]]),"Mktg","Marketing")</f>
        <v>R &amp; D</v>
      </c>
      <c r="G15" t="s">
        <v>37</v>
      </c>
      <c r="H15" t="str">
        <f>PROPER(cleaning_data_used[[#This Row],[Column5]])</f>
        <v>Vp</v>
      </c>
    </row>
    <row r="16" spans="1:8" x14ac:dyDescent="0.25">
      <c r="A16" t="s">
        <v>38</v>
      </c>
      <c r="B16" t="str">
        <f>PROPER(cleaning_data_used[[#This Row],[Column1]])</f>
        <v xml:space="preserve">Crossley, Erin </v>
      </c>
      <c r="C16" s="1" t="s">
        <v>39</v>
      </c>
      <c r="D16" s="2">
        <v>46000</v>
      </c>
      <c r="E16" t="s">
        <v>1</v>
      </c>
      <c r="F16" t="str">
        <f>SUBSTITUTE(PROPER(cleaning_data_used[[#This Row],[Column4]]),"Mktg","Marketing")</f>
        <v>Admin</v>
      </c>
      <c r="G16" t="s">
        <v>40</v>
      </c>
      <c r="H16" t="str">
        <f>PROPER(cleaning_data_used[[#This Row],[Column5]])</f>
        <v>Team Leader</v>
      </c>
    </row>
    <row r="17" spans="1:8" x14ac:dyDescent="0.25">
      <c r="A17" t="s">
        <v>41</v>
      </c>
      <c r="B17" t="str">
        <f>PROPER(cleaning_data_used[[#This Row],[Column1]])</f>
        <v xml:space="preserve">Doe, Jane </v>
      </c>
      <c r="C17" s="1" t="s">
        <v>42</v>
      </c>
      <c r="D17" s="2">
        <v>21500</v>
      </c>
      <c r="E17" t="s">
        <v>36</v>
      </c>
      <c r="F17" t="str">
        <f>SUBSTITUTE(PROPER(cleaning_data_used[[#This Row],[Column4]]),"Mktg","Marketing")</f>
        <v>R &amp; D</v>
      </c>
      <c r="G17" t="s">
        <v>6</v>
      </c>
      <c r="H17" t="str">
        <f>PROPER(cleaning_data_used[[#This Row],[Column5]])</f>
        <v>Trainee</v>
      </c>
    </row>
    <row r="18" spans="1:8" x14ac:dyDescent="0.25">
      <c r="A18" t="s">
        <v>43</v>
      </c>
      <c r="B18" t="str">
        <f>PROPER(cleaning_data_used[[#This Row],[Column1]])</f>
        <v xml:space="preserve">Doe, John  </v>
      </c>
      <c r="C18" s="1" t="s">
        <v>44</v>
      </c>
      <c r="D18" s="2">
        <v>45600</v>
      </c>
      <c r="E18" t="s">
        <v>5</v>
      </c>
      <c r="F18" t="str">
        <f>SUBSTITUTE(PROPER(cleaning_data_used[[#This Row],[Column4]]),"Mktg","Marketing")</f>
        <v>Engineering</v>
      </c>
      <c r="G18" t="s">
        <v>2</v>
      </c>
      <c r="H18" t="str">
        <f>PROPER(cleaning_data_used[[#This Row],[Column5]])</f>
        <v>Intern</v>
      </c>
    </row>
    <row r="19" spans="1:8" x14ac:dyDescent="0.25">
      <c r="A19" t="s">
        <v>45</v>
      </c>
      <c r="B19" t="str">
        <f>PROPER(cleaning_data_used[[#This Row],[Column1]])</f>
        <v>Darnstein, Danny</v>
      </c>
      <c r="C19" s="1" t="s">
        <v>46</v>
      </c>
      <c r="D19" s="2">
        <v>52000</v>
      </c>
      <c r="E19" t="s">
        <v>5</v>
      </c>
      <c r="F19" t="str">
        <f>SUBSTITUTE(PROPER(cleaning_data_used[[#This Row],[Column4]]),"Mktg","Marketing")</f>
        <v>Engineering</v>
      </c>
      <c r="G19" t="s">
        <v>18</v>
      </c>
      <c r="H19" t="str">
        <f>PROPER(cleaning_data_used[[#This Row],[Column5]])</f>
        <v>Cost Accountant</v>
      </c>
    </row>
    <row r="20" spans="1:8" x14ac:dyDescent="0.25">
      <c r="A20" t="s">
        <v>47</v>
      </c>
      <c r="B20" t="str">
        <f>PROPER(cleaning_data_used[[#This Row],[Column1]])</f>
        <v xml:space="preserve">Fallengrano, Bill </v>
      </c>
      <c r="C20" s="1" t="s">
        <v>48</v>
      </c>
      <c r="D20" s="2">
        <v>56750</v>
      </c>
      <c r="E20" t="s">
        <v>5</v>
      </c>
      <c r="F20" t="str">
        <f>SUBSTITUTE(PROPER(cleaning_data_used[[#This Row],[Column4]]),"Mktg","Marketing")</f>
        <v>Engineering</v>
      </c>
      <c r="G20" t="s">
        <v>29</v>
      </c>
      <c r="H20" t="str">
        <f>PROPER(cleaning_data_used[[#This Row],[Column5]])</f>
        <v>Senior Administrator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BCF90-FA25-4444-BA02-A4AE10231CBC}">
  <dimension ref="A1:J20"/>
  <sheetViews>
    <sheetView workbookViewId="0">
      <selection activeCell="C2" sqref="C2"/>
    </sheetView>
  </sheetViews>
  <sheetFormatPr defaultRowHeight="15" x14ac:dyDescent="0.25"/>
  <cols>
    <col min="1" max="3" width="19.42578125" customWidth="1"/>
    <col min="4" max="4" width="11.42578125" customWidth="1"/>
    <col min="5" max="5" width="11.28515625" bestFit="1" customWidth="1"/>
    <col min="6" max="6" width="13.28515625" hidden="1" customWidth="1"/>
    <col min="7" max="7" width="11.5703125" bestFit="1" customWidth="1"/>
    <col min="8" max="8" width="23.28515625" hidden="1" customWidth="1"/>
    <col min="9" max="9" width="19.7109375" bestFit="1" customWidth="1"/>
  </cols>
  <sheetData>
    <row r="1" spans="1:9" x14ac:dyDescent="0.25">
      <c r="A1" t="s">
        <v>49</v>
      </c>
      <c r="B1" t="s">
        <v>56</v>
      </c>
      <c r="C1" t="s">
        <v>57</v>
      </c>
      <c r="D1" s="1" t="s">
        <v>50</v>
      </c>
      <c r="E1" s="2" t="s">
        <v>51</v>
      </c>
      <c r="F1" t="s">
        <v>52</v>
      </c>
      <c r="G1" t="s">
        <v>54</v>
      </c>
      <c r="H1" t="s">
        <v>53</v>
      </c>
      <c r="I1" t="s">
        <v>55</v>
      </c>
    </row>
    <row r="2" spans="1:9" x14ac:dyDescent="0.25">
      <c r="A2" t="str">
        <f>PROPER(cleaning_data_used[[#This Row],[Column1]])</f>
        <v xml:space="preserve">Juarez, Jose </v>
      </c>
      <c r="B2" t="str">
        <f>LEFT(Table8[[#This Row],[Employees Names]],FIND(",",Table8[[#This Row],[Employees Names]])-1)</f>
        <v>Juarez</v>
      </c>
      <c r="C2" t="str">
        <f>RIGHT(Table8[[#This Row],[Employees Names]],LEN(Table8[[#This Row],[Employees Names]])-FIND(",",Table8[[#This Row],[Employees Names]]))</f>
        <v xml:space="preserve"> Jose </v>
      </c>
      <c r="D2" s="1">
        <v>41297</v>
      </c>
      <c r="E2" s="2">
        <v>39000</v>
      </c>
      <c r="F2" t="s">
        <v>1</v>
      </c>
      <c r="G2" t="str">
        <f>SUBSTITUTE(PROPER(cleaning_data_used[[#This Row],[Column4]]),"Mktg","Marketing")</f>
        <v>Admin</v>
      </c>
      <c r="H2" t="s">
        <v>2</v>
      </c>
      <c r="I2" t="str">
        <f>PROPER(cleaning_data_used[[#This Row],[Column5]])</f>
        <v>Intern</v>
      </c>
    </row>
    <row r="3" spans="1:9" x14ac:dyDescent="0.25">
      <c r="A3" t="str">
        <f>PROPER(cleaning_data_used[[#This Row],[Column1]])</f>
        <v xml:space="preserve">Abraham, Johnny </v>
      </c>
      <c r="B3" t="str">
        <f>LEFT(Table8[[#This Row],[Employees Names]],FIND(",",Table8[[#This Row],[Employees Names]])-1)</f>
        <v>Abraham</v>
      </c>
      <c r="C3" t="str">
        <f>RIGHT(Table8[[#This Row],[Employees Names]],LEN(Table8[[#This Row],[Employees Names]])-FIND(",",Table8[[#This Row],[Employees Names]]))</f>
        <v xml:space="preserve"> Johnny </v>
      </c>
      <c r="D3" s="1" t="s">
        <v>4</v>
      </c>
      <c r="E3" s="2">
        <v>27000</v>
      </c>
      <c r="F3" t="s">
        <v>5</v>
      </c>
      <c r="G3" t="str">
        <f>SUBSTITUTE(PROPER(cleaning_data_used[[#This Row],[Column4]]),"Mktg","Marketing")</f>
        <v>Engineering</v>
      </c>
      <c r="H3" t="s">
        <v>6</v>
      </c>
      <c r="I3" t="str">
        <f>PROPER(cleaning_data_used[[#This Row],[Column5]])</f>
        <v>Trainee</v>
      </c>
    </row>
    <row r="4" spans="1:9" x14ac:dyDescent="0.25">
      <c r="A4" t="str">
        <f>PROPER(cleaning_data_used[[#This Row],[Column1]])</f>
        <v>Baker, Sarah</v>
      </c>
      <c r="B4" t="str">
        <f>LEFT(Table8[[#This Row],[Employees Names]],FIND(",",Table8[[#This Row],[Employees Names]])-1)</f>
        <v>Baker</v>
      </c>
      <c r="C4" t="str">
        <f>RIGHT(Table8[[#This Row],[Employees Names]],LEN(Table8[[#This Row],[Employees Names]])-FIND(",",Table8[[#This Row],[Employees Names]]))</f>
        <v xml:space="preserve"> Sarah</v>
      </c>
      <c r="D4" s="1" t="s">
        <v>8</v>
      </c>
      <c r="E4" s="2">
        <v>36000</v>
      </c>
      <c r="F4" t="s">
        <v>9</v>
      </c>
      <c r="G4" t="str">
        <f>SUBSTITUTE(PROPER(cleaning_data_used[[#This Row],[Column4]]),"Mktg","Marketing")</f>
        <v>Sales</v>
      </c>
      <c r="H4" t="s">
        <v>10</v>
      </c>
      <c r="I4" t="str">
        <f>PROPER(cleaning_data_used[[#This Row],[Column5]])</f>
        <v>Sales Executive</v>
      </c>
    </row>
    <row r="5" spans="1:9" x14ac:dyDescent="0.25">
      <c r="A5" t="str">
        <f>PROPER(cleaning_data_used[[#This Row],[Column1]])</f>
        <v>Balotelli, Billy</v>
      </c>
      <c r="B5" t="str">
        <f>LEFT(Table8[[#This Row],[Employees Names]],FIND(",",Table8[[#This Row],[Employees Names]])-1)</f>
        <v>Balotelli</v>
      </c>
      <c r="C5" t="str">
        <f>RIGHT(Table8[[#This Row],[Employees Names]],LEN(Table8[[#This Row],[Employees Names]])-FIND(",",Table8[[#This Row],[Employees Names]]))</f>
        <v xml:space="preserve"> Billy</v>
      </c>
      <c r="D5" s="1" t="s">
        <v>12</v>
      </c>
      <c r="E5" s="2">
        <v>23900</v>
      </c>
      <c r="F5" t="s">
        <v>5</v>
      </c>
      <c r="G5" t="str">
        <f>SUBSTITUTE(PROPER(cleaning_data_used[[#This Row],[Column4]]),"Mktg","Marketing")</f>
        <v>Engineering</v>
      </c>
      <c r="H5" t="s">
        <v>2</v>
      </c>
      <c r="I5" t="str">
        <f>PROPER(cleaning_data_used[[#This Row],[Column5]])</f>
        <v>Intern</v>
      </c>
    </row>
    <row r="6" spans="1:9" x14ac:dyDescent="0.25">
      <c r="A6" t="str">
        <f>PROPER(cleaning_data_used[[#This Row],[Column1]])</f>
        <v xml:space="preserve">Bishop, Tiana </v>
      </c>
      <c r="B6" t="str">
        <f>LEFT(Table8[[#This Row],[Employees Names]],FIND(",",Table8[[#This Row],[Employees Names]])-1)</f>
        <v>Bishop</v>
      </c>
      <c r="C6" t="str">
        <f>RIGHT(Table8[[#This Row],[Employees Names]],LEN(Table8[[#This Row],[Employees Names]])-FIND(",",Table8[[#This Row],[Employees Names]]))</f>
        <v xml:space="preserve"> Tiana </v>
      </c>
      <c r="D6" s="1">
        <v>37959</v>
      </c>
      <c r="E6" s="2">
        <v>46500</v>
      </c>
      <c r="F6" t="s">
        <v>5</v>
      </c>
      <c r="G6" t="str">
        <f>SUBSTITUTE(PROPER(cleaning_data_used[[#This Row],[Column4]]),"Mktg","Marketing")</f>
        <v>Engineering</v>
      </c>
      <c r="H6" t="s">
        <v>14</v>
      </c>
      <c r="I6" t="str">
        <f>PROPER(cleaning_data_used[[#This Row],[Column5]])</f>
        <v>Manager</v>
      </c>
    </row>
    <row r="7" spans="1:9" x14ac:dyDescent="0.25">
      <c r="A7" t="str">
        <f>PROPER(cleaning_data_used[[#This Row],[Column1]])</f>
        <v>Boateng, Terryy</v>
      </c>
      <c r="B7" t="str">
        <f>LEFT(Table8[[#This Row],[Employees Names]],FIND(",",Table8[[#This Row],[Employees Names]])-1)</f>
        <v>Boateng</v>
      </c>
      <c r="C7" t="str">
        <f>RIGHT(Table8[[#This Row],[Employees Names]],LEN(Table8[[#This Row],[Employees Names]])-FIND(",",Table8[[#This Row],[Employees Names]]))</f>
        <v xml:space="preserve"> Terryy</v>
      </c>
      <c r="D7" s="1" t="s">
        <v>16</v>
      </c>
      <c r="E7" s="2">
        <v>50000</v>
      </c>
      <c r="F7" t="s">
        <v>17</v>
      </c>
      <c r="G7" t="str">
        <f>SUBSTITUTE(PROPER(cleaning_data_used[[#This Row],[Column4]]),"Mktg","Marketing")</f>
        <v>Accounts</v>
      </c>
      <c r="H7" t="s">
        <v>18</v>
      </c>
      <c r="I7" t="str">
        <f>PROPER(cleaning_data_used[[#This Row],[Column5]])</f>
        <v>Cost Accountant</v>
      </c>
    </row>
    <row r="8" spans="1:9" x14ac:dyDescent="0.25">
      <c r="A8" t="str">
        <f>PROPER(cleaning_data_used[[#This Row],[Column1]])</f>
        <v xml:space="preserve">Boer, Fred </v>
      </c>
      <c r="B8" t="str">
        <f>LEFT(Table8[[#This Row],[Employees Names]],FIND(",",Table8[[#This Row],[Employees Names]])-1)</f>
        <v>Boer</v>
      </c>
      <c r="C8" t="str">
        <f>RIGHT(Table8[[#This Row],[Employees Names]],LEN(Table8[[#This Row],[Employees Names]])-FIND(",",Table8[[#This Row],[Employees Names]]))</f>
        <v xml:space="preserve"> Fred </v>
      </c>
      <c r="D8" s="1" t="s">
        <v>20</v>
      </c>
      <c r="E8" s="2">
        <v>46000</v>
      </c>
      <c r="F8" t="s">
        <v>21</v>
      </c>
      <c r="G8" t="str">
        <f>SUBSTITUTE(PROPER(cleaning_data_used[[#This Row],[Column4]]),"Mktg","Marketing")</f>
        <v>Marketing</v>
      </c>
      <c r="H8" t="s">
        <v>22</v>
      </c>
      <c r="I8" t="str">
        <f>PROPER(cleaning_data_used[[#This Row],[Column5]])</f>
        <v>Designer</v>
      </c>
    </row>
    <row r="9" spans="1:9" x14ac:dyDescent="0.25">
      <c r="A9" t="str">
        <f>PROPER(cleaning_data_used[[#This Row],[Column1]])</f>
        <v>Barker, Betty</v>
      </c>
      <c r="B9" t="str">
        <f>LEFT(Table8[[#This Row],[Employees Names]],FIND(",",Table8[[#This Row],[Employees Names]])-1)</f>
        <v>Barker</v>
      </c>
      <c r="C9" t="str">
        <f>RIGHT(Table8[[#This Row],[Employees Names]],LEN(Table8[[#This Row],[Employees Names]])-FIND(",",Table8[[#This Row],[Employees Names]]))</f>
        <v xml:space="preserve"> Betty</v>
      </c>
      <c r="D9" s="1" t="s">
        <v>24</v>
      </c>
      <c r="E9" s="2">
        <v>43500</v>
      </c>
      <c r="F9" t="s">
        <v>9</v>
      </c>
      <c r="G9" t="str">
        <f>SUBSTITUTE(PROPER(cleaning_data_used[[#This Row],[Column4]]),"Mktg","Marketing")</f>
        <v>Sales</v>
      </c>
      <c r="H9" t="s">
        <v>10</v>
      </c>
      <c r="I9" t="str">
        <f>PROPER(cleaning_data_used[[#This Row],[Column5]])</f>
        <v>Sales Executive</v>
      </c>
    </row>
    <row r="10" spans="1:9" x14ac:dyDescent="0.25">
      <c r="A10" t="str">
        <f>PROPER(cleaning_data_used[[#This Row],[Column1]])</f>
        <v xml:space="preserve">Bursteyn , Tom </v>
      </c>
      <c r="B10" t="str">
        <f>LEFT(Table8[[#This Row],[Employees Names]],FIND(",",Table8[[#This Row],[Employees Names]])-1)</f>
        <v xml:space="preserve">Bursteyn </v>
      </c>
      <c r="C10" t="str">
        <f>RIGHT(Table8[[#This Row],[Employees Names]],LEN(Table8[[#This Row],[Employees Names]])-FIND(",",Table8[[#This Row],[Employees Names]]))</f>
        <v xml:space="preserve"> Tom </v>
      </c>
      <c r="D10" s="1">
        <v>36834</v>
      </c>
      <c r="E10" s="2">
        <v>21000</v>
      </c>
      <c r="F10" t="s">
        <v>9</v>
      </c>
      <c r="G10" t="str">
        <f>SUBSTITUTE(PROPER(cleaning_data_used[[#This Row],[Column4]]),"Mktg","Marketing")</f>
        <v>Sales</v>
      </c>
      <c r="H10" t="s">
        <v>26</v>
      </c>
      <c r="I10" t="str">
        <f>PROPER(cleaning_data_used[[#This Row],[Column5]])</f>
        <v>Sales Trainee</v>
      </c>
    </row>
    <row r="11" spans="1:9" x14ac:dyDescent="0.25">
      <c r="A11" t="str">
        <f>PROPER(cleaning_data_used[[#This Row],[Column1]])</f>
        <v xml:space="preserve">Bursteyn, Tammy </v>
      </c>
      <c r="B11" t="str">
        <f>LEFT(Table8[[#This Row],[Employees Names]],FIND(",",Table8[[#This Row],[Employees Names]])-1)</f>
        <v>Bursteyn</v>
      </c>
      <c r="C11" t="str">
        <f>RIGHT(Table8[[#This Row],[Employees Names]],LEN(Table8[[#This Row],[Employees Names]])-FIND(",",Table8[[#This Row],[Employees Names]]))</f>
        <v xml:space="preserve"> Tammy </v>
      </c>
      <c r="D11" s="1">
        <v>38238</v>
      </c>
      <c r="E11" s="2">
        <v>38000</v>
      </c>
      <c r="F11" t="s">
        <v>9</v>
      </c>
      <c r="G11" t="str">
        <f>SUBSTITUTE(PROPER(cleaning_data_used[[#This Row],[Column4]]),"Mktg","Marketing")</f>
        <v>Sales</v>
      </c>
      <c r="H11" t="s">
        <v>10</v>
      </c>
      <c r="I11" t="str">
        <f>PROPER(cleaning_data_used[[#This Row],[Column5]])</f>
        <v>Sales Executive</v>
      </c>
    </row>
    <row r="12" spans="1:9" x14ac:dyDescent="0.25">
      <c r="A12" t="str">
        <f>PROPER(cleaning_data_used[[#This Row],[Column1]])</f>
        <v>Busser, Bobby</v>
      </c>
      <c r="B12" t="str">
        <f>LEFT(Table8[[#This Row],[Employees Names]],FIND(",",Table8[[#This Row],[Employees Names]])-1)</f>
        <v>Busser</v>
      </c>
      <c r="C12" t="str">
        <f>RIGHT(Table8[[#This Row],[Employees Names]],LEN(Table8[[#This Row],[Employees Names]])-FIND(",",Table8[[#This Row],[Employees Names]]))</f>
        <v xml:space="preserve"> Bobby</v>
      </c>
      <c r="D12" s="1">
        <v>37417</v>
      </c>
      <c r="E12" s="2">
        <v>29950</v>
      </c>
      <c r="F12" t="s">
        <v>17</v>
      </c>
      <c r="G12" t="str">
        <f>SUBSTITUTE(PROPER(cleaning_data_used[[#This Row],[Column4]]),"Mktg","Marketing")</f>
        <v>Accounts</v>
      </c>
      <c r="H12" t="s">
        <v>29</v>
      </c>
      <c r="I12" t="str">
        <f>PROPER(cleaning_data_used[[#This Row],[Column5]])</f>
        <v>Senior Administrator</v>
      </c>
    </row>
    <row r="13" spans="1:9" x14ac:dyDescent="0.25">
      <c r="A13" t="str">
        <f>PROPER(cleaning_data_used[[#This Row],[Column1]])</f>
        <v>Casciewicz, Kathy</v>
      </c>
      <c r="B13" t="str">
        <f>LEFT(Table8[[#This Row],[Employees Names]],FIND(",",Table8[[#This Row],[Employees Names]])-1)</f>
        <v>Casciewicz</v>
      </c>
      <c r="C13" t="str">
        <f>RIGHT(Table8[[#This Row],[Employees Names]],LEN(Table8[[#This Row],[Employees Names]])-FIND(",",Table8[[#This Row],[Employees Names]]))</f>
        <v xml:space="preserve"> Kathy</v>
      </c>
      <c r="D13" s="1" t="s">
        <v>31</v>
      </c>
      <c r="E13" s="2">
        <v>41000</v>
      </c>
      <c r="F13" t="s">
        <v>9</v>
      </c>
      <c r="G13" t="str">
        <f>SUBSTITUTE(PROPER(cleaning_data_used[[#This Row],[Column4]]),"Mktg","Marketing")</f>
        <v>Sales</v>
      </c>
      <c r="H13" t="s">
        <v>32</v>
      </c>
      <c r="I13" t="str">
        <f>PROPER(cleaning_data_used[[#This Row],[Column5]])</f>
        <v>Senior Technician</v>
      </c>
    </row>
    <row r="14" spans="1:9" x14ac:dyDescent="0.25">
      <c r="A14" t="str">
        <f>PROPER(cleaning_data_used[[#This Row],[Column1]])</f>
        <v xml:space="preserve">Cole, Ashley </v>
      </c>
      <c r="B14" t="str">
        <f>LEFT(Table8[[#This Row],[Employees Names]],FIND(",",Table8[[#This Row],[Employees Names]])-1)</f>
        <v>Cole</v>
      </c>
      <c r="C14" t="str">
        <f>RIGHT(Table8[[#This Row],[Employees Names]],LEN(Table8[[#This Row],[Employees Names]])-FIND(",",Table8[[#This Row],[Employees Names]]))</f>
        <v xml:space="preserve"> Ashley </v>
      </c>
      <c r="D14" s="1">
        <v>40483</v>
      </c>
      <c r="E14" s="2">
        <v>54000</v>
      </c>
      <c r="F14" t="s">
        <v>9</v>
      </c>
      <c r="G14" t="str">
        <f>SUBSTITUTE(PROPER(cleaning_data_used[[#This Row],[Column4]]),"Mktg","Marketing")</f>
        <v>Sales</v>
      </c>
      <c r="H14" t="s">
        <v>18</v>
      </c>
      <c r="I14" t="str">
        <f>PROPER(cleaning_data_used[[#This Row],[Column5]])</f>
        <v>Cost Accountant</v>
      </c>
    </row>
    <row r="15" spans="1:9" x14ac:dyDescent="0.25">
      <c r="A15" t="str">
        <f>PROPER(cleaning_data_used[[#This Row],[Column1]])</f>
        <v>Cookson, Charles</v>
      </c>
      <c r="B15" t="str">
        <f>LEFT(Table8[[#This Row],[Employees Names]],FIND(",",Table8[[#This Row],[Employees Names]])-1)</f>
        <v>Cookson</v>
      </c>
      <c r="C15" t="str">
        <f>RIGHT(Table8[[#This Row],[Employees Names]],LEN(Table8[[#This Row],[Employees Names]])-FIND(",",Table8[[#This Row],[Employees Names]]))</f>
        <v xml:space="preserve"> Charles</v>
      </c>
      <c r="D15" s="1" t="s">
        <v>35</v>
      </c>
      <c r="E15" s="2">
        <v>63200</v>
      </c>
      <c r="F15" t="s">
        <v>36</v>
      </c>
      <c r="G15" t="str">
        <f>SUBSTITUTE(PROPER(cleaning_data_used[[#This Row],[Column4]]),"Mktg","Marketing")</f>
        <v>R &amp; D</v>
      </c>
      <c r="H15" t="s">
        <v>37</v>
      </c>
      <c r="I15" t="str">
        <f>PROPER(cleaning_data_used[[#This Row],[Column5]])</f>
        <v>Vp</v>
      </c>
    </row>
    <row r="16" spans="1:9" x14ac:dyDescent="0.25">
      <c r="A16" t="str">
        <f>PROPER(cleaning_data_used[[#This Row],[Column1]])</f>
        <v xml:space="preserve">Crossley, Erin </v>
      </c>
      <c r="B16" t="str">
        <f>LEFT(Table8[[#This Row],[Employees Names]],FIND(",",Table8[[#This Row],[Employees Names]])-1)</f>
        <v>Crossley</v>
      </c>
      <c r="C16" t="str">
        <f>RIGHT(Table8[[#This Row],[Employees Names]],LEN(Table8[[#This Row],[Employees Names]])-FIND(",",Table8[[#This Row],[Employees Names]]))</f>
        <v xml:space="preserve"> Erin </v>
      </c>
      <c r="D16" s="1" t="s">
        <v>39</v>
      </c>
      <c r="E16" s="2">
        <v>46000</v>
      </c>
      <c r="F16" t="s">
        <v>1</v>
      </c>
      <c r="G16" t="str">
        <f>SUBSTITUTE(PROPER(cleaning_data_used[[#This Row],[Column4]]),"Mktg","Marketing")</f>
        <v>Admin</v>
      </c>
      <c r="H16" t="s">
        <v>40</v>
      </c>
      <c r="I16" t="str">
        <f>PROPER(cleaning_data_used[[#This Row],[Column5]])</f>
        <v>Team Leader</v>
      </c>
    </row>
    <row r="17" spans="1:9" x14ac:dyDescent="0.25">
      <c r="A17" t="str">
        <f>PROPER(cleaning_data_used[[#This Row],[Column1]])</f>
        <v xml:space="preserve">Doe, Jane </v>
      </c>
      <c r="B17" t="str">
        <f>LEFT(Table8[[#This Row],[Employees Names]],FIND(",",Table8[[#This Row],[Employees Names]])-1)</f>
        <v>Doe</v>
      </c>
      <c r="C17" t="str">
        <f>RIGHT(Table8[[#This Row],[Employees Names]],LEN(Table8[[#This Row],[Employees Names]])-FIND(",",Table8[[#This Row],[Employees Names]]))</f>
        <v xml:space="preserve"> Jane </v>
      </c>
      <c r="D17" s="1" t="s">
        <v>42</v>
      </c>
      <c r="E17" s="2">
        <v>21500</v>
      </c>
      <c r="F17" t="s">
        <v>36</v>
      </c>
      <c r="G17" t="str">
        <f>SUBSTITUTE(PROPER(cleaning_data_used[[#This Row],[Column4]]),"Mktg","Marketing")</f>
        <v>R &amp; D</v>
      </c>
      <c r="H17" t="s">
        <v>6</v>
      </c>
      <c r="I17" t="str">
        <f>PROPER(cleaning_data_used[[#This Row],[Column5]])</f>
        <v>Trainee</v>
      </c>
    </row>
    <row r="18" spans="1:9" x14ac:dyDescent="0.25">
      <c r="A18" t="str">
        <f>PROPER(cleaning_data_used[[#This Row],[Column1]])</f>
        <v xml:space="preserve">Doe, John  </v>
      </c>
      <c r="B18" t="str">
        <f>LEFT(Table8[[#This Row],[Employees Names]],FIND(",",Table8[[#This Row],[Employees Names]])-1)</f>
        <v>Doe</v>
      </c>
      <c r="C18" t="str">
        <f>RIGHT(Table8[[#This Row],[Employees Names]],LEN(Table8[[#This Row],[Employees Names]])-FIND(",",Table8[[#This Row],[Employees Names]]))</f>
        <v xml:space="preserve"> John  </v>
      </c>
      <c r="D18" s="1" t="s">
        <v>44</v>
      </c>
      <c r="E18" s="2">
        <v>45600</v>
      </c>
      <c r="F18" t="s">
        <v>5</v>
      </c>
      <c r="G18" t="str">
        <f>SUBSTITUTE(PROPER(cleaning_data_used[[#This Row],[Column4]]),"Mktg","Marketing")</f>
        <v>Engineering</v>
      </c>
      <c r="H18" t="s">
        <v>2</v>
      </c>
      <c r="I18" t="str">
        <f>PROPER(cleaning_data_used[[#This Row],[Column5]])</f>
        <v>Intern</v>
      </c>
    </row>
    <row r="19" spans="1:9" x14ac:dyDescent="0.25">
      <c r="A19" t="str">
        <f>PROPER(cleaning_data_used[[#This Row],[Column1]])</f>
        <v>Darnstein, Danny</v>
      </c>
      <c r="B19" t="str">
        <f>LEFT(Table8[[#This Row],[Employees Names]],FIND(",",Table8[[#This Row],[Employees Names]])-1)</f>
        <v>Darnstein</v>
      </c>
      <c r="C19" t="str">
        <f>RIGHT(Table8[[#This Row],[Employees Names]],LEN(Table8[[#This Row],[Employees Names]])-FIND(",",Table8[[#This Row],[Employees Names]]))</f>
        <v xml:space="preserve"> Danny</v>
      </c>
      <c r="D19" s="1" t="s">
        <v>46</v>
      </c>
      <c r="E19" s="2">
        <v>52000</v>
      </c>
      <c r="F19" t="s">
        <v>5</v>
      </c>
      <c r="G19" t="str">
        <f>SUBSTITUTE(PROPER(cleaning_data_used[[#This Row],[Column4]]),"Mktg","Marketing")</f>
        <v>Engineering</v>
      </c>
      <c r="H19" t="s">
        <v>18</v>
      </c>
      <c r="I19" t="str">
        <f>PROPER(cleaning_data_used[[#This Row],[Column5]])</f>
        <v>Cost Accountant</v>
      </c>
    </row>
    <row r="20" spans="1:9" x14ac:dyDescent="0.25">
      <c r="A20" t="str">
        <f>PROPER(cleaning_data_used[[#This Row],[Column1]])</f>
        <v xml:space="preserve">Fallengrano, Bill </v>
      </c>
      <c r="B20" t="str">
        <f>LEFT(Table8[[#This Row],[Employees Names]],FIND(",",Table8[[#This Row],[Employees Names]])-1)</f>
        <v>Fallengrano</v>
      </c>
      <c r="C20" t="str">
        <f>RIGHT(Table8[[#This Row],[Employees Names]],LEN(Table8[[#This Row],[Employees Names]])-FIND(",",Table8[[#This Row],[Employees Names]]))</f>
        <v xml:space="preserve"> Bill </v>
      </c>
      <c r="D20" s="1" t="s">
        <v>48</v>
      </c>
      <c r="E20" s="2">
        <v>56750</v>
      </c>
      <c r="F20" t="s">
        <v>5</v>
      </c>
      <c r="G20" t="str">
        <f>SUBSTITUTE(PROPER(cleaning_data_used[[#This Row],[Column4]]),"Mktg","Marketing")</f>
        <v>Engineering</v>
      </c>
      <c r="H20" t="s">
        <v>29</v>
      </c>
      <c r="I20" t="str">
        <f>PROPER(cleaning_data_used[[#This Row],[Column5]])</f>
        <v>Senior Administrator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0100194-B65B-4E00-A736-7A253705017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cleaning data used</vt:lpstr>
      <vt:lpstr>Clean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Mubarak Olaniyan</dc:creator>
  <cp:lastModifiedBy>Mubarak Olaniyan</cp:lastModifiedBy>
  <dcterms:created xsi:type="dcterms:W3CDTF">2026-02-25T14:02:07Z</dcterms:created>
  <dcterms:modified xsi:type="dcterms:W3CDTF">2026-02-26T10:39:54Z</dcterms:modified>
</cp:coreProperties>
</file>